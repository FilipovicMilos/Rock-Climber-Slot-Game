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loš\Desktop\"/>
    </mc:Choice>
  </mc:AlternateContent>
  <xr:revisionPtr revIDLastSave="0" documentId="13_ncr:1_{FC550EC5-D0DF-45B6-8C14-70163D73F0AC}" xr6:coauthVersionLast="47" xr6:coauthVersionMax="47" xr10:uidLastSave="{00000000-0000-0000-0000-000000000000}"/>
  <bookViews>
    <workbookView xWindow="28680" yWindow="-3390" windowWidth="38640" windowHeight="21240" tabRatio="500" activeTab="1" xr2:uid="{00000000-000D-0000-FFFF-FFFF00000000}"/>
  </bookViews>
  <sheets>
    <sheet name="Config" sheetId="1" r:id="rId1"/>
    <sheet name="Paylines" sheetId="2" r:id="rId2"/>
    <sheet name="RTP Breakdown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" i="3" l="1"/>
  <c r="E4" i="3"/>
  <c r="I15" i="3"/>
  <c r="C15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D22" i="1"/>
  <c r="E21" i="1"/>
  <c r="I21" i="1" s="1"/>
  <c r="H11" i="3" s="1"/>
  <c r="E20" i="1"/>
  <c r="D10" i="3" s="1"/>
  <c r="E19" i="1"/>
  <c r="D9" i="3" s="1"/>
  <c r="E18" i="1"/>
  <c r="D8" i="3" s="1"/>
  <c r="E17" i="1"/>
  <c r="I17" i="1" s="1"/>
  <c r="H7" i="3" s="1"/>
  <c r="E16" i="1"/>
  <c r="D6" i="3" s="1"/>
  <c r="E15" i="1"/>
  <c r="D5" i="3" s="1"/>
  <c r="E14" i="1"/>
  <c r="D4" i="3" s="1"/>
  <c r="C9" i="1"/>
  <c r="C32" i="1" l="1"/>
  <c r="E32" i="1" s="1"/>
  <c r="C34" i="1"/>
  <c r="E34" i="1" s="1"/>
  <c r="C33" i="1"/>
  <c r="E33" i="1" s="1"/>
  <c r="E35" i="1" s="1"/>
  <c r="E8" i="3"/>
  <c r="G8" i="3"/>
  <c r="F8" i="3"/>
  <c r="E10" i="3"/>
  <c r="G10" i="3"/>
  <c r="F10" i="3"/>
  <c r="G4" i="3"/>
  <c r="F4" i="3"/>
  <c r="E5" i="3"/>
  <c r="G5" i="3"/>
  <c r="F5" i="3"/>
  <c r="E6" i="3"/>
  <c r="G6" i="3"/>
  <c r="F6" i="3"/>
  <c r="I14" i="1"/>
  <c r="I18" i="1"/>
  <c r="H8" i="3" s="1"/>
  <c r="I15" i="1"/>
  <c r="H5" i="3" s="1"/>
  <c r="I19" i="1"/>
  <c r="H9" i="3" s="1"/>
  <c r="I16" i="1"/>
  <c r="H6" i="3" s="1"/>
  <c r="I20" i="1"/>
  <c r="H10" i="3" s="1"/>
  <c r="D7" i="3"/>
  <c r="D11" i="3"/>
  <c r="E11" i="3" l="1"/>
  <c r="G11" i="3"/>
  <c r="F11" i="3"/>
  <c r="E7" i="3"/>
  <c r="G7" i="3"/>
  <c r="F7" i="3"/>
  <c r="I22" i="1"/>
  <c r="F37" i="1" l="1"/>
  <c r="G37" i="1" s="1"/>
  <c r="F24" i="1"/>
  <c r="H12" i="3"/>
  <c r="I12" i="3" l="1"/>
  <c r="I4" i="3"/>
  <c r="I7" i="3"/>
  <c r="I11" i="3"/>
  <c r="I10" i="3"/>
  <c r="I8" i="3"/>
  <c r="I6" i="3"/>
  <c r="I9" i="3"/>
  <c r="I5" i="3"/>
</calcChain>
</file>

<file path=xl/sharedStrings.xml><?xml version="1.0" encoding="utf-8"?>
<sst xmlns="http://schemas.openxmlformats.org/spreadsheetml/2006/main" count="142" uniqueCount="92">
  <si>
    <t>⛏  SLOT MATH — CONFIG</t>
  </si>
  <si>
    <t>PODEŠAVANJA IGRE</t>
  </si>
  <si>
    <t>Broj reelova</t>
  </si>
  <si>
    <t>Broj redova</t>
  </si>
  <si>
    <t>Broj paylines</t>
  </si>
  <si>
    <t>Dužina reel trake (virtual reel)</t>
  </si>
  <si>
    <t>Vidljive pozicije na ekranu (reelovi × redovi)</t>
  </si>
  <si>
    <t>SIMBOLI — TEŽINE I ISPLATE</t>
  </si>
  <si>
    <t>Simbol</t>
  </si>
  <si>
    <t>Tier</t>
  </si>
  <si>
    <t>Težina</t>
  </si>
  <si>
    <t>% po reelu</t>
  </si>
  <si>
    <t>3× isplata</t>
  </si>
  <si>
    <t>4× isplata</t>
  </si>
  <si>
    <t>5× isplata</t>
  </si>
  <si>
    <t>RTP doprinos</t>
  </si>
  <si>
    <t>Helmet</t>
  </si>
  <si>
    <t>Low</t>
  </si>
  <si>
    <t>Axe</t>
  </si>
  <si>
    <t>Shoes</t>
  </si>
  <si>
    <t>Anchor</t>
  </si>
  <si>
    <t>Mid</t>
  </si>
  <si>
    <t>Tent</t>
  </si>
  <si>
    <t>Rock Climber Logo ⚡</t>
  </si>
  <si>
    <t>Scatter</t>
  </si>
  <si>
    <t>Miner</t>
  </si>
  <si>
    <t>High</t>
  </si>
  <si>
    <t>Yeti</t>
  </si>
  <si>
    <t>UKUPNO</t>
  </si>
  <si>
    <t>💡  RTP od paylines (bez scattera):</t>
  </si>
  <si>
    <t>ℹ️  RTP formula = Σ(p³×pay3 + p⁴×pay4 + p⁵×pay5) bez množenja brojem linija.  |  Dobitci na RAZLIČITIM paylines se SABIRAJU.  |  Na ISTOJ paylines plaća samo NAJVEĆI match (4× ne plaća i 3×).  |  Smer čitanja linija: samo LEVO → DESNO.</t>
  </si>
  <si>
    <t>🎯  SCATTER — Rock Climber Logo  (plaća 3, 4 ili 5× bilo gde na ekranu, nezavisno od paylines)</t>
  </si>
  <si>
    <t>Scatter plaća kada padne 3, 4 ili 5 puta BILO GDE na ekranu (C9 = 15 vidljivih pozicija = 5 reelova × 3 reda).  Formula: BINOMDIST(k, 15, p_po_poziciji, NETAČNO)  gde je p = težina RCL / ukupna težina reela = 3/100 = 3%.  Isplate su množilac UKUPNOG ULOGA (ne uloga po liniji).</t>
  </si>
  <si>
    <t>Kombinacija</t>
  </si>
  <si>
    <t>Verovatnoća</t>
  </si>
  <si>
    <t>Isplata (×ukupan ulog)</t>
  </si>
  <si>
    <t>3× Scatter</t>
  </si>
  <si>
    <t>4× Scatter</t>
  </si>
  <si>
    <t>5× Scatter</t>
  </si>
  <si>
    <t>Scatter ukupni RTP doprinos</t>
  </si>
  <si>
    <t>📊  UKUPNI RTP (linije + scatter):</t>
  </si>
  <si>
    <t>⛏  PAYLINES — 10 linija isplate</t>
  </si>
  <si>
    <t>Linija</t>
  </si>
  <si>
    <t>Reel 1</t>
  </si>
  <si>
    <t>Reel 2</t>
  </si>
  <si>
    <t>Reel 3</t>
  </si>
  <si>
    <t>Reel 4</t>
  </si>
  <si>
    <t>Reel 5</t>
  </si>
  <si>
    <t>Opis</t>
  </si>
  <si>
    <t>Linija 1</t>
  </si>
  <si>
    <t>→ Sredina</t>
  </si>
  <si>
    <t>Srednja horizontalna</t>
  </si>
  <si>
    <t>Linija 2</t>
  </si>
  <si>
    <t>↑ Gore</t>
  </si>
  <si>
    <t>Gornja horizontalna</t>
  </si>
  <si>
    <t>Linija 3</t>
  </si>
  <si>
    <t>↓ Dole</t>
  </si>
  <si>
    <t>Donja horizontalna</t>
  </si>
  <si>
    <t>Linija 4</t>
  </si>
  <si>
    <t>V oblik</t>
  </si>
  <si>
    <t>Linija 5</t>
  </si>
  <si>
    <t>Linija 6</t>
  </si>
  <si>
    <t>Linija 7</t>
  </si>
  <si>
    <t>Linija 8</t>
  </si>
  <si>
    <t>Linija 9</t>
  </si>
  <si>
    <t>⛏  RTP BREAKDOWN — doprinos po simbolu</t>
  </si>
  <si>
    <t>% Reel</t>
  </si>
  <si>
    <t>3× prob</t>
  </si>
  <si>
    <t>4× prob</t>
  </si>
  <si>
    <t>5× prob</t>
  </si>
  <si>
    <t>% od ukupnog</t>
  </si>
  <si>
    <t>UKUPNI RTP</t>
  </si>
  <si>
    <t>🎯  SCATTER — Rock Climber Logo</t>
  </si>
  <si>
    <t>Rock Climber Logo (scatter)</t>
  </si>
  <si>
    <t>UKUPNI RTP (linije + scatter)</t>
  </si>
  <si>
    <t>VODIČ ZA PODEŠAVANJE</t>
  </si>
  <si>
    <t>Cilj</t>
  </si>
  <si>
    <t>RTP između 92% i 96%. Ispod 92% = igra nije privlačna. Iznad 97% = preskupa za operatora.</t>
  </si>
  <si>
    <t>Poveći RTP</t>
  </si>
  <si>
    <t>Povećaj isplate u kolonama F, G, H u Config sheetu. Yeti i Miner imaju najveći efekat.</t>
  </si>
  <si>
    <t>Smanji RTP</t>
  </si>
  <si>
    <t>Smanji isplate, ili povećaj težine common simbola (Helmet, Axe).</t>
  </si>
  <si>
    <t>Volatilnost</t>
  </si>
  <si>
    <t>Retki simboli s velikim isplatama = visoka volatilnost (dugi gubici, pa veliki dobitak).</t>
  </si>
  <si>
    <t>Provjera</t>
  </si>
  <si>
    <t>Nakon svakog balansiranja provjeri da ukupna težina (D kolona) ostaje 50.</t>
  </si>
  <si>
    <t>Plavo = input   |   Crno = formula</t>
  </si>
  <si>
    <t>Manje V</t>
  </si>
  <si>
    <t>_ - - - _</t>
  </si>
  <si>
    <t>obrnuto manje V</t>
  </si>
  <si>
    <t>Obrnuto V</t>
  </si>
  <si>
    <t xml:space="preserve"> - _ _ _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</si>
</sst>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000%"/>
  </numFmts>
  <fonts count="2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666666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sz val="10"/>
      <color rgb="FF0070C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70C0"/>
      <name val="Arial"/>
      <charset val="1"/>
    </font>
    <font>
      <i/>
      <sz val="10"/>
      <name val="Arial"/>
      <charset val="1"/>
    </font>
    <font>
      <b/>
      <sz val="10"/>
      <color rgb="FFC55A11"/>
      <name val="Arial"/>
      <charset val="1"/>
    </font>
    <font>
      <b/>
      <sz val="10"/>
      <name val="Arial"/>
      <charset val="1"/>
    </font>
    <font>
      <b/>
      <sz val="12"/>
      <color rgb="FF000000"/>
      <name val="Arial"/>
      <charset val="1"/>
    </font>
    <font>
      <b/>
      <sz val="11"/>
      <name val="Arial"/>
      <charset val="1"/>
    </font>
    <font>
      <b/>
      <sz val="13"/>
      <color rgb="FF595959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i/>
      <sz val="9"/>
      <color rgb="FF333333"/>
      <name val="Arial"/>
      <charset val="1"/>
    </font>
    <font>
      <b/>
      <sz val="11"/>
      <color rgb="FFC55A11"/>
      <name val="Arial"/>
      <charset val="1"/>
    </font>
    <font>
      <b/>
      <sz val="13"/>
      <name val="Arial"/>
      <charset val="1"/>
    </font>
    <font>
      <b/>
      <sz val="15"/>
      <color rgb="FF0070C0"/>
      <name val="Arial"/>
      <charset val="1"/>
    </font>
    <font>
      <b/>
      <sz val="14"/>
      <color rgb="FFFFFFFF"/>
      <name val="Arial"/>
      <charset val="1"/>
    </font>
    <font>
      <sz val="10"/>
      <color rgb="FF375623"/>
      <name val="Arial"/>
      <charset val="1"/>
    </font>
    <font>
      <sz val="10"/>
      <color rgb="FFB8670A"/>
      <name val="Arial"/>
      <charset val="1"/>
    </font>
    <font>
      <b/>
      <sz val="13"/>
      <color rgb="FF0070C0"/>
      <name val="Arial"/>
      <charset val="1"/>
    </font>
    <font>
      <sz val="10"/>
      <color rgb="FFC55A11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4D7B"/>
      </patternFill>
    </fill>
    <fill>
      <patternFill patternType="solid">
        <fgColor rgb="FF2E4D7B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AE3F3"/>
        <bgColor rgb="FFD5E8D4"/>
      </patternFill>
    </fill>
    <fill>
      <patternFill patternType="solid">
        <fgColor rgb="FFD5E8D4"/>
        <bgColor rgb="FFDAE3F3"/>
      </patternFill>
    </fill>
    <fill>
      <patternFill patternType="solid">
        <fgColor rgb="FFFCE4D6"/>
        <bgColor rgb="FFF2F2F2"/>
      </patternFill>
    </fill>
    <fill>
      <patternFill patternType="solid">
        <fgColor rgb="FFFFD966"/>
        <bgColor rgb="FFFFCC00"/>
      </patternFill>
    </fill>
    <fill>
      <patternFill patternType="solid">
        <fgColor rgb="FFC55A11"/>
        <bgColor rgb="FFB8670A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7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vertical="center" inden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indent="1"/>
    </xf>
    <xf numFmtId="0" fontId="9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indent="1"/>
    </xf>
    <xf numFmtId="0" fontId="9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indent="1"/>
    </xf>
    <xf numFmtId="0" fontId="9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0" fontId="6" fillId="8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 indent="1"/>
    </xf>
    <xf numFmtId="0" fontId="0" fillId="4" borderId="1" xfId="0" applyFill="1" applyBorder="1"/>
    <xf numFmtId="10" fontId="12" fillId="4" borderId="1" xfId="0" applyNumberFormat="1" applyFont="1" applyFill="1" applyBorder="1" applyAlignment="1">
      <alignment horizontal="center" vertical="center"/>
    </xf>
    <xf numFmtId="10" fontId="14" fillId="4" borderId="1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0" fillId="4" borderId="0" xfId="0" applyFill="1"/>
    <xf numFmtId="0" fontId="10" fillId="7" borderId="1" xfId="0" applyFont="1" applyFill="1" applyBorder="1" applyAlignment="1">
      <alignment horizontal="left" vertical="center" indent="2"/>
    </xf>
    <xf numFmtId="165" fontId="6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0" xfId="0" applyFill="1"/>
    <xf numFmtId="0" fontId="11" fillId="4" borderId="1" xfId="0" applyFont="1" applyFill="1" applyBorder="1" applyAlignment="1">
      <alignment horizontal="left" vertical="center" indent="2"/>
    </xf>
    <xf numFmtId="10" fontId="18" fillId="4" borderId="1" xfId="0" applyNumberFormat="1" applyFont="1" applyFill="1" applyBorder="1" applyAlignment="1">
      <alignment horizontal="center" vertical="center"/>
    </xf>
    <xf numFmtId="10" fontId="20" fillId="6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indent="1"/>
    </xf>
    <xf numFmtId="0" fontId="23" fillId="10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 indent="1"/>
    </xf>
    <xf numFmtId="0" fontId="6" fillId="5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vertical="center" indent="1"/>
    </xf>
    <xf numFmtId="0" fontId="6" fillId="6" borderId="1" xfId="0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 indent="1"/>
    </xf>
    <xf numFmtId="0" fontId="6" fillId="7" borderId="1" xfId="0" applyFont="1" applyFill="1" applyBorder="1" applyAlignment="1">
      <alignment horizontal="center" vertical="center"/>
    </xf>
    <xf numFmtId="166" fontId="6" fillId="7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vertical="center" indent="1"/>
    </xf>
    <xf numFmtId="0" fontId="6" fillId="8" borderId="1" xfId="0" applyFont="1" applyFill="1" applyBorder="1" applyAlignment="1">
      <alignment horizontal="center" vertical="center"/>
    </xf>
    <xf numFmtId="166" fontId="6" fillId="8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vertical="center" indent="1"/>
    </xf>
    <xf numFmtId="10" fontId="24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indent="1"/>
    </xf>
    <xf numFmtId="164" fontId="25" fillId="7" borderId="0" xfId="0" applyNumberFormat="1" applyFont="1" applyFill="1" applyAlignment="1">
      <alignment horizontal="center" vertical="center"/>
    </xf>
    <xf numFmtId="0" fontId="13" fillId="4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vertical="center" indent="1"/>
    </xf>
    <xf numFmtId="0" fontId="0" fillId="0" borderId="2" xfId="0" applyBorder="1"/>
    <xf numFmtId="0" fontId="0" fillId="0" borderId="3" xfId="0" applyBorder="1"/>
    <xf numFmtId="0" fontId="15" fillId="0" borderId="0" xfId="0" applyFont="1" applyAlignment="1">
      <alignment horizontal="left" vertical="center" wrapText="1" indent="1"/>
    </xf>
    <xf numFmtId="0" fontId="16" fillId="9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left" vertical="center" wrapText="1" indent="1"/>
    </xf>
    <xf numFmtId="0" fontId="19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2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670A"/>
      <rgbColor rgb="FF800080"/>
      <rgbColor rgb="FF008080"/>
      <rgbColor rgb="FFBFBFBF"/>
      <rgbColor rgb="FF595959"/>
      <rgbColor rgb="FF9999FF"/>
      <rgbColor rgb="FF555555"/>
      <rgbColor rgb="FFF2F2F2"/>
      <rgbColor rgb="FFCCFFFF"/>
      <rgbColor rgb="FF660066"/>
      <rgbColor rgb="FFFF8080"/>
      <rgbColor rgb="FF0070C0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CE4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1F3864"/>
      <rgbColor rgb="FF339966"/>
      <rgbColor rgb="FF003300"/>
      <rgbColor rgb="FF375623"/>
      <rgbColor rgb="FF993300"/>
      <rgbColor rgb="FF993366"/>
      <rgbColor rgb="FF2E4D7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7"/>
  <sheetViews>
    <sheetView showGridLines="0" topLeftCell="A11" zoomScaleNormal="100" workbookViewId="0">
      <selection activeCell="C32" sqref="C32"/>
    </sheetView>
  </sheetViews>
  <sheetFormatPr defaultColWidth="8.6640625" defaultRowHeight="14.4" x14ac:dyDescent="0.3"/>
  <cols>
    <col min="1" max="1" width="3" customWidth="1"/>
    <col min="2" max="2" width="22" customWidth="1"/>
    <col min="3" max="4" width="13" customWidth="1"/>
    <col min="5" max="8" width="14" customWidth="1"/>
    <col min="9" max="9" width="16" customWidth="1"/>
  </cols>
  <sheetData>
    <row r="1" spans="2:9" ht="37.5" customHeight="1" x14ac:dyDescent="0.3">
      <c r="B1" s="74" t="s">
        <v>0</v>
      </c>
      <c r="C1" s="74"/>
      <c r="D1" s="74"/>
      <c r="E1" s="74"/>
      <c r="F1" s="74"/>
      <c r="G1" s="74"/>
      <c r="H1" s="74"/>
      <c r="I1" s="74"/>
    </row>
    <row r="2" spans="2:9" ht="15.75" customHeight="1" x14ac:dyDescent="0.3">
      <c r="B2" s="75" t="s">
        <v>86</v>
      </c>
      <c r="C2" s="75"/>
      <c r="D2" s="75"/>
      <c r="E2" s="75"/>
      <c r="F2" s="75"/>
      <c r="G2" s="75"/>
      <c r="H2" s="75"/>
      <c r="I2" s="75"/>
    </row>
    <row r="3" spans="2:9" ht="12" customHeight="1" x14ac:dyDescent="0.3"/>
    <row r="4" spans="2:9" ht="21.75" customHeight="1" x14ac:dyDescent="0.3">
      <c r="B4" s="76" t="s">
        <v>1</v>
      </c>
      <c r="C4" s="76"/>
    </row>
    <row r="5" spans="2:9" ht="19.5" customHeight="1" x14ac:dyDescent="0.3">
      <c r="B5" s="2" t="s">
        <v>2</v>
      </c>
      <c r="C5" s="3">
        <v>5</v>
      </c>
    </row>
    <row r="6" spans="2:9" ht="19.5" customHeight="1" x14ac:dyDescent="0.3">
      <c r="B6" s="2" t="s">
        <v>3</v>
      </c>
      <c r="C6" s="3">
        <v>3</v>
      </c>
    </row>
    <row r="7" spans="2:9" ht="19.5" customHeight="1" x14ac:dyDescent="0.3">
      <c r="B7" s="2" t="s">
        <v>4</v>
      </c>
      <c r="C7" s="3">
        <v>10</v>
      </c>
    </row>
    <row r="8" spans="2:9" ht="19.5" customHeight="1" x14ac:dyDescent="0.3">
      <c r="B8" s="2" t="s">
        <v>5</v>
      </c>
      <c r="C8" s="3">
        <v>100</v>
      </c>
    </row>
    <row r="9" spans="2:9" ht="19.5" customHeight="1" x14ac:dyDescent="0.3">
      <c r="B9" s="2" t="s">
        <v>6</v>
      </c>
      <c r="C9" s="4">
        <f>C5*C6</f>
        <v>15</v>
      </c>
    </row>
    <row r="11" spans="2:9" ht="12" customHeight="1" x14ac:dyDescent="0.3"/>
    <row r="12" spans="2:9" ht="25.5" customHeight="1" x14ac:dyDescent="0.3">
      <c r="B12" s="77" t="s">
        <v>7</v>
      </c>
      <c r="C12" s="77"/>
      <c r="D12" s="77"/>
      <c r="E12" s="77"/>
      <c r="F12" s="77"/>
      <c r="G12" s="77"/>
      <c r="H12" s="77"/>
      <c r="I12" s="77"/>
    </row>
    <row r="13" spans="2:9" ht="27.75" customHeight="1" x14ac:dyDescent="0.3"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13</v>
      </c>
      <c r="H13" s="5" t="s">
        <v>14</v>
      </c>
      <c r="I13" s="5" t="s">
        <v>15</v>
      </c>
    </row>
    <row r="14" spans="2:9" ht="21.75" customHeight="1" x14ac:dyDescent="0.3">
      <c r="B14" s="6" t="s">
        <v>16</v>
      </c>
      <c r="C14" s="7" t="s">
        <v>17</v>
      </c>
      <c r="D14" s="8">
        <v>22</v>
      </c>
      <c r="E14" s="9">
        <f t="shared" ref="E14:E21" si="0">D14/SUM($D$14:$D$21)</f>
        <v>0.22</v>
      </c>
      <c r="F14" s="8">
        <v>10</v>
      </c>
      <c r="G14" s="8">
        <v>25</v>
      </c>
      <c r="H14" s="8">
        <v>80</v>
      </c>
      <c r="I14" s="10">
        <f t="shared" ref="I14:I21" si="1">E14^3*F14 + E14^4*G14 + E14^5*H14</f>
        <v>0.20627305600000001</v>
      </c>
    </row>
    <row r="15" spans="2:9" ht="21.75" customHeight="1" x14ac:dyDescent="0.3">
      <c r="B15" s="6" t="s">
        <v>18</v>
      </c>
      <c r="C15" s="7" t="s">
        <v>17</v>
      </c>
      <c r="D15" s="8">
        <v>18</v>
      </c>
      <c r="E15" s="9">
        <f t="shared" si="0"/>
        <v>0.18</v>
      </c>
      <c r="F15" s="8">
        <v>12</v>
      </c>
      <c r="G15" s="8">
        <v>35</v>
      </c>
      <c r="H15" s="8">
        <v>120</v>
      </c>
      <c r="I15" s="10">
        <f t="shared" si="1"/>
        <v>0.12940041599999996</v>
      </c>
    </row>
    <row r="16" spans="2:9" ht="21.75" customHeight="1" x14ac:dyDescent="0.3">
      <c r="B16" s="6" t="s">
        <v>19</v>
      </c>
      <c r="C16" s="7" t="s">
        <v>17</v>
      </c>
      <c r="D16" s="8">
        <v>16</v>
      </c>
      <c r="E16" s="9">
        <f t="shared" si="0"/>
        <v>0.16</v>
      </c>
      <c r="F16" s="8">
        <v>15</v>
      </c>
      <c r="G16" s="8">
        <v>45</v>
      </c>
      <c r="H16" s="8">
        <v>150</v>
      </c>
      <c r="I16" s="10">
        <f t="shared" si="1"/>
        <v>0.10665984000000002</v>
      </c>
    </row>
    <row r="17" spans="2:9" ht="21.75" customHeight="1" x14ac:dyDescent="0.3">
      <c r="B17" s="11" t="s">
        <v>20</v>
      </c>
      <c r="C17" s="12" t="s">
        <v>21</v>
      </c>
      <c r="D17" s="13">
        <v>14</v>
      </c>
      <c r="E17" s="14">
        <f t="shared" si="0"/>
        <v>0.14000000000000001</v>
      </c>
      <c r="F17" s="13">
        <v>25</v>
      </c>
      <c r="G17" s="13">
        <v>75</v>
      </c>
      <c r="H17" s="13">
        <v>250</v>
      </c>
      <c r="I17" s="15">
        <f t="shared" si="1"/>
        <v>0.11085760000000003</v>
      </c>
    </row>
    <row r="18" spans="2:9" ht="21.75" customHeight="1" x14ac:dyDescent="0.3">
      <c r="B18" s="11" t="s">
        <v>22</v>
      </c>
      <c r="C18" s="12" t="s">
        <v>21</v>
      </c>
      <c r="D18" s="13">
        <v>12</v>
      </c>
      <c r="E18" s="14">
        <f t="shared" si="0"/>
        <v>0.12</v>
      </c>
      <c r="F18" s="13">
        <v>40</v>
      </c>
      <c r="G18" s="13">
        <v>120</v>
      </c>
      <c r="H18" s="13">
        <v>400</v>
      </c>
      <c r="I18" s="15">
        <f t="shared" si="1"/>
        <v>0.10395647999999999</v>
      </c>
    </row>
    <row r="19" spans="2:9" ht="21.75" customHeight="1" x14ac:dyDescent="0.3">
      <c r="B19" s="16" t="s">
        <v>23</v>
      </c>
      <c r="C19" s="17" t="s">
        <v>24</v>
      </c>
      <c r="D19" s="18">
        <v>3</v>
      </c>
      <c r="E19" s="19">
        <f t="shared" si="0"/>
        <v>0.03</v>
      </c>
      <c r="F19" s="18">
        <v>0</v>
      </c>
      <c r="G19" s="18">
        <v>0</v>
      </c>
      <c r="H19" s="18">
        <v>0</v>
      </c>
      <c r="I19" s="20">
        <f t="shared" si="1"/>
        <v>0</v>
      </c>
    </row>
    <row r="20" spans="2:9" ht="21.75" customHeight="1" x14ac:dyDescent="0.3">
      <c r="B20" s="21" t="s">
        <v>25</v>
      </c>
      <c r="C20" s="22" t="s">
        <v>26</v>
      </c>
      <c r="D20" s="23">
        <v>10</v>
      </c>
      <c r="E20" s="24">
        <f t="shared" si="0"/>
        <v>0.1</v>
      </c>
      <c r="F20" s="23">
        <v>80</v>
      </c>
      <c r="G20" s="23">
        <v>240</v>
      </c>
      <c r="H20" s="23">
        <v>800</v>
      </c>
      <c r="I20" s="25">
        <f t="shared" si="1"/>
        <v>0.11200000000000003</v>
      </c>
    </row>
    <row r="21" spans="2:9" ht="21.75" customHeight="1" x14ac:dyDescent="0.3">
      <c r="B21" s="21" t="s">
        <v>27</v>
      </c>
      <c r="C21" s="22" t="s">
        <v>26</v>
      </c>
      <c r="D21" s="23">
        <v>5</v>
      </c>
      <c r="E21" s="24">
        <f t="shared" si="0"/>
        <v>0.05</v>
      </c>
      <c r="F21" s="23">
        <v>800</v>
      </c>
      <c r="G21" s="23">
        <v>2400</v>
      </c>
      <c r="H21" s="23">
        <v>8000</v>
      </c>
      <c r="I21" s="25">
        <f t="shared" si="1"/>
        <v>0.11750000000000002</v>
      </c>
    </row>
    <row r="22" spans="2:9" ht="24" customHeight="1" x14ac:dyDescent="0.3">
      <c r="B22" s="26" t="s">
        <v>28</v>
      </c>
      <c r="C22" s="27"/>
      <c r="D22" s="4">
        <f>SUM(D14:D21)</f>
        <v>100</v>
      </c>
      <c r="E22" s="27"/>
      <c r="F22" s="27"/>
      <c r="G22" s="27"/>
      <c r="H22" s="27"/>
      <c r="I22" s="28">
        <f>SUM(I14:I21)</f>
        <v>0.88664739200000009</v>
      </c>
    </row>
    <row r="24" spans="2:9" ht="31.5" customHeight="1" x14ac:dyDescent="0.3">
      <c r="B24" s="78" t="s">
        <v>29</v>
      </c>
      <c r="C24" s="78"/>
      <c r="D24" s="78"/>
      <c r="E24" s="78"/>
      <c r="F24" s="29">
        <f>I22</f>
        <v>0.88664739200000009</v>
      </c>
      <c r="G24" s="73"/>
      <c r="H24" s="73"/>
      <c r="I24" s="73"/>
    </row>
    <row r="26" spans="2:9" ht="42" customHeight="1" x14ac:dyDescent="0.3">
      <c r="B26" s="69" t="s">
        <v>30</v>
      </c>
      <c r="C26" s="69"/>
      <c r="D26" s="69"/>
      <c r="E26" s="69"/>
      <c r="F26" s="69"/>
      <c r="G26" s="69"/>
      <c r="H26" s="69"/>
      <c r="I26" s="69"/>
    </row>
    <row r="28" spans="2:9" ht="9.75" customHeight="1" x14ac:dyDescent="0.3"/>
    <row r="29" spans="2:9" ht="25.5" customHeight="1" x14ac:dyDescent="0.3">
      <c r="B29" s="70" t="s">
        <v>31</v>
      </c>
      <c r="C29" s="70"/>
      <c r="D29" s="70"/>
      <c r="E29" s="70"/>
      <c r="F29" s="70"/>
      <c r="G29" s="70"/>
      <c r="H29" s="70"/>
      <c r="I29" s="70"/>
    </row>
    <row r="30" spans="2:9" ht="30" customHeight="1" x14ac:dyDescent="0.3">
      <c r="B30" s="71" t="s">
        <v>32</v>
      </c>
      <c r="C30" s="71"/>
      <c r="D30" s="71"/>
      <c r="E30" s="71"/>
      <c r="F30" s="71"/>
      <c r="G30" s="71"/>
      <c r="H30" s="71"/>
      <c r="I30" s="71"/>
    </row>
    <row r="31" spans="2:9" ht="24" customHeight="1" x14ac:dyDescent="0.3">
      <c r="B31" s="30" t="s">
        <v>33</v>
      </c>
      <c r="C31" s="30" t="s">
        <v>34</v>
      </c>
      <c r="D31" s="30" t="s">
        <v>35</v>
      </c>
      <c r="E31" s="30" t="s">
        <v>15</v>
      </c>
      <c r="F31" s="31"/>
      <c r="G31" s="31"/>
      <c r="H31" s="31"/>
      <c r="I31" s="31"/>
    </row>
    <row r="32" spans="2:9" ht="21.75" customHeight="1" x14ac:dyDescent="0.3">
      <c r="B32" s="32" t="s">
        <v>36</v>
      </c>
      <c r="C32" s="33">
        <f>BINOMDIST(3,C9,E19,0)</f>
        <v>8.5238534048289582E-3</v>
      </c>
      <c r="D32" s="18">
        <v>5</v>
      </c>
      <c r="E32" s="20">
        <f>C32*D32</f>
        <v>4.2619267024144793E-2</v>
      </c>
      <c r="F32" s="34"/>
      <c r="G32" s="34"/>
      <c r="H32" s="34"/>
      <c r="I32" s="35"/>
    </row>
    <row r="33" spans="2:9" ht="21.75" customHeight="1" x14ac:dyDescent="0.3">
      <c r="B33" s="32" t="s">
        <v>37</v>
      </c>
      <c r="C33" s="33">
        <f>BINOMDIST(4,C9,E19,0)</f>
        <v>7.9087299632433648E-4</v>
      </c>
      <c r="D33" s="18">
        <v>20</v>
      </c>
      <c r="E33" s="20">
        <f>C33*D33</f>
        <v>1.581745992648673E-2</v>
      </c>
      <c r="F33" s="34"/>
      <c r="G33" s="34"/>
      <c r="H33" s="34"/>
      <c r="I33" s="35"/>
    </row>
    <row r="34" spans="2:9" ht="21.75" customHeight="1" x14ac:dyDescent="0.3">
      <c r="B34" s="32" t="s">
        <v>38</v>
      </c>
      <c r="C34" s="33">
        <f>BINOMDIST(5,C9,E19,0)</f>
        <v>5.3811977069490904E-5</v>
      </c>
      <c r="D34" s="18">
        <v>100</v>
      </c>
      <c r="E34" s="20">
        <f>C34*D34</f>
        <v>5.3811977069490903E-3</v>
      </c>
      <c r="F34" s="34"/>
      <c r="G34" s="34"/>
      <c r="H34" s="34"/>
      <c r="I34" s="35"/>
    </row>
    <row r="35" spans="2:9" ht="21.75" customHeight="1" x14ac:dyDescent="0.3">
      <c r="B35" s="36" t="s">
        <v>39</v>
      </c>
      <c r="C35" s="27"/>
      <c r="D35" s="27"/>
      <c r="E35" s="37">
        <f>SUM(E32:E34)</f>
        <v>6.3817924657580613E-2</v>
      </c>
      <c r="F35" s="27"/>
      <c r="G35" s="27"/>
      <c r="H35" s="27"/>
    </row>
    <row r="37" spans="2:9" ht="36" customHeight="1" x14ac:dyDescent="0.3">
      <c r="B37" s="72" t="s">
        <v>40</v>
      </c>
      <c r="C37" s="72"/>
      <c r="D37" s="72"/>
      <c r="E37" s="72"/>
      <c r="F37" s="38">
        <f>I22+E35</f>
        <v>0.95046531665758072</v>
      </c>
      <c r="G37" s="73" t="str">
        <f>IF(F37&gt;=0.92,"✅ OK — cilj je 92–96%",IF(F37&gt;0.97,"⚠️ Previše isplaćuje (&gt;97%)","⚠️ Prenisko (&lt;92%) — povećaj isplate"))</f>
        <v>✅ OK — cilj je 92–96%</v>
      </c>
      <c r="H37" s="73"/>
      <c r="I37" s="73"/>
    </row>
  </sheetData>
  <mergeCells count="11">
    <mergeCell ref="B1:I1"/>
    <mergeCell ref="B2:I2"/>
    <mergeCell ref="B4:C4"/>
    <mergeCell ref="B12:I12"/>
    <mergeCell ref="B24:E24"/>
    <mergeCell ref="G24:I24"/>
    <mergeCell ref="B26:I26"/>
    <mergeCell ref="B29:I29"/>
    <mergeCell ref="B30:I30"/>
    <mergeCell ref="B37:E37"/>
    <mergeCell ref="G37:I3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2"/>
  <sheetViews>
    <sheetView showGridLines="0" tabSelected="1" zoomScaleNormal="100" workbookViewId="0">
      <selection activeCell="J26" sqref="J26"/>
    </sheetView>
  </sheetViews>
  <sheetFormatPr defaultColWidth="8.6640625" defaultRowHeight="14.4" x14ac:dyDescent="0.3"/>
  <cols>
    <col min="1" max="1" width="3" customWidth="1"/>
    <col min="2" max="2" width="16" customWidth="1"/>
    <col min="3" max="7" width="10" customWidth="1"/>
    <col min="8" max="8" width="28" customWidth="1"/>
  </cols>
  <sheetData>
    <row r="1" spans="2:8" ht="36" customHeight="1" x14ac:dyDescent="0.3">
      <c r="B1" s="79" t="s">
        <v>41</v>
      </c>
      <c r="C1" s="79"/>
      <c r="D1" s="79"/>
      <c r="E1" s="79"/>
      <c r="F1" s="79"/>
      <c r="G1" s="79"/>
      <c r="H1" s="79"/>
    </row>
    <row r="3" spans="2:8" ht="24" customHeight="1" x14ac:dyDescent="0.3"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</row>
    <row r="4" spans="2:8" ht="21.75" customHeight="1" x14ac:dyDescent="0.3">
      <c r="B4" s="39" t="s">
        <v>49</v>
      </c>
      <c r="C4" s="40" t="s">
        <v>53</v>
      </c>
      <c r="D4" s="40" t="s">
        <v>53</v>
      </c>
      <c r="E4" s="40" t="s">
        <v>53</v>
      </c>
      <c r="F4" s="40" t="s">
        <v>53</v>
      </c>
      <c r="G4" s="40" t="s">
        <v>53</v>
      </c>
      <c r="H4" s="41" t="s">
        <v>54</v>
      </c>
    </row>
    <row r="5" spans="2:8" ht="21.75" customHeight="1" x14ac:dyDescent="0.3">
      <c r="B5" s="42" t="s">
        <v>52</v>
      </c>
      <c r="C5" s="40" t="s">
        <v>53</v>
      </c>
      <c r="D5" s="40" t="s">
        <v>53</v>
      </c>
      <c r="E5" s="45" t="s">
        <v>50</v>
      </c>
      <c r="F5" s="40" t="s">
        <v>53</v>
      </c>
      <c r="G5" s="40" t="s">
        <v>53</v>
      </c>
      <c r="H5" s="43" t="s">
        <v>87</v>
      </c>
    </row>
    <row r="6" spans="2:8" ht="21.75" customHeight="1" x14ac:dyDescent="0.3">
      <c r="B6" s="39" t="s">
        <v>55</v>
      </c>
      <c r="C6" s="8" t="s">
        <v>53</v>
      </c>
      <c r="D6" s="45" t="s">
        <v>50</v>
      </c>
      <c r="E6" s="46" t="s">
        <v>56</v>
      </c>
      <c r="F6" s="45" t="s">
        <v>50</v>
      </c>
      <c r="G6" s="8" t="s">
        <v>53</v>
      </c>
      <c r="H6" s="43" t="s">
        <v>59</v>
      </c>
    </row>
    <row r="7" spans="2:8" ht="21.75" customHeight="1" x14ac:dyDescent="0.3">
      <c r="B7" s="42" t="s">
        <v>58</v>
      </c>
      <c r="C7" s="45" t="s">
        <v>50</v>
      </c>
      <c r="D7" s="8" t="s">
        <v>53</v>
      </c>
      <c r="E7" s="8" t="s">
        <v>53</v>
      </c>
      <c r="F7" s="8" t="s">
        <v>53</v>
      </c>
      <c r="G7" s="45" t="s">
        <v>50</v>
      </c>
      <c r="H7" s="43" t="s">
        <v>88</v>
      </c>
    </row>
    <row r="8" spans="2:8" ht="21.75" customHeight="1" x14ac:dyDescent="0.3">
      <c r="B8" s="39" t="s">
        <v>60</v>
      </c>
      <c r="C8" s="45" t="s">
        <v>50</v>
      </c>
      <c r="D8" s="45" t="s">
        <v>50</v>
      </c>
      <c r="E8" s="45" t="s">
        <v>50</v>
      </c>
      <c r="F8" s="45" t="s">
        <v>50</v>
      </c>
      <c r="G8" s="45" t="s">
        <v>50</v>
      </c>
      <c r="H8" s="43" t="s">
        <v>51</v>
      </c>
    </row>
    <row r="9" spans="2:8" ht="21.75" customHeight="1" x14ac:dyDescent="0.3">
      <c r="B9" s="42" t="s">
        <v>61</v>
      </c>
      <c r="C9" s="45" t="s">
        <v>50</v>
      </c>
      <c r="D9" s="44" t="s">
        <v>56</v>
      </c>
      <c r="E9" s="44" t="s">
        <v>56</v>
      </c>
      <c r="F9" s="46" t="s">
        <v>56</v>
      </c>
      <c r="G9" s="45" t="s">
        <v>50</v>
      </c>
      <c r="H9" s="43" t="s">
        <v>91</v>
      </c>
    </row>
    <row r="10" spans="2:8" ht="21.75" customHeight="1" x14ac:dyDescent="0.3">
      <c r="B10" s="39" t="s">
        <v>62</v>
      </c>
      <c r="C10" s="44" t="s">
        <v>56</v>
      </c>
      <c r="D10" s="40" t="s">
        <v>50</v>
      </c>
      <c r="E10" s="8" t="s">
        <v>53</v>
      </c>
      <c r="F10" s="40" t="s">
        <v>50</v>
      </c>
      <c r="G10" s="46" t="s">
        <v>56</v>
      </c>
      <c r="H10" s="41" t="s">
        <v>90</v>
      </c>
    </row>
    <row r="11" spans="2:8" ht="21.75" customHeight="1" x14ac:dyDescent="0.3">
      <c r="B11" s="42" t="s">
        <v>63</v>
      </c>
      <c r="C11" s="44" t="s">
        <v>56</v>
      </c>
      <c r="D11" s="44" t="s">
        <v>56</v>
      </c>
      <c r="E11" s="45" t="s">
        <v>50</v>
      </c>
      <c r="F11" s="46" t="s">
        <v>56</v>
      </c>
      <c r="G11" s="44" t="s">
        <v>56</v>
      </c>
      <c r="H11" s="43" t="s">
        <v>89</v>
      </c>
    </row>
    <row r="12" spans="2:8" ht="21.75" customHeight="1" x14ac:dyDescent="0.3">
      <c r="B12" s="39" t="s">
        <v>64</v>
      </c>
      <c r="C12" s="44" t="s">
        <v>56</v>
      </c>
      <c r="D12" s="44" t="s">
        <v>56</v>
      </c>
      <c r="E12" s="44" t="s">
        <v>56</v>
      </c>
      <c r="F12" s="44" t="s">
        <v>56</v>
      </c>
      <c r="G12" s="44" t="s">
        <v>56</v>
      </c>
      <c r="H12" s="41" t="s">
        <v>57</v>
      </c>
    </row>
  </sheetData>
  <mergeCells count="1">
    <mergeCell ref="B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3"/>
  <sheetViews>
    <sheetView showGridLines="0" zoomScaleNormal="100" workbookViewId="0">
      <selection activeCell="D16" sqref="D16"/>
    </sheetView>
  </sheetViews>
  <sheetFormatPr defaultColWidth="8.6640625" defaultRowHeight="14.4" x14ac:dyDescent="0.3"/>
  <cols>
    <col min="1" max="1" width="3" customWidth="1"/>
    <col min="2" max="2" width="22" customWidth="1"/>
    <col min="3" max="3" width="12" customWidth="1"/>
    <col min="4" max="8" width="14" customWidth="1"/>
    <col min="9" max="9" width="16" customWidth="1"/>
  </cols>
  <sheetData>
    <row r="1" spans="2:9" ht="36" customHeight="1" x14ac:dyDescent="0.3">
      <c r="B1" s="79" t="s">
        <v>65</v>
      </c>
      <c r="C1" s="79"/>
      <c r="D1" s="79"/>
      <c r="E1" s="79"/>
      <c r="F1" s="79"/>
      <c r="G1" s="79"/>
      <c r="H1" s="79"/>
      <c r="I1" s="79"/>
    </row>
    <row r="3" spans="2:9" ht="24" customHeight="1" x14ac:dyDescent="0.3">
      <c r="B3" s="1" t="s">
        <v>8</v>
      </c>
      <c r="C3" s="1" t="s">
        <v>10</v>
      </c>
      <c r="D3" s="1" t="s">
        <v>66</v>
      </c>
      <c r="E3" s="1" t="s">
        <v>67</v>
      </c>
      <c r="F3" s="1" t="s">
        <v>68</v>
      </c>
      <c r="G3" s="1" t="s">
        <v>69</v>
      </c>
      <c r="H3" s="1" t="s">
        <v>15</v>
      </c>
      <c r="I3" s="1" t="s">
        <v>70</v>
      </c>
    </row>
    <row r="4" spans="2:9" ht="21.75" customHeight="1" x14ac:dyDescent="0.3">
      <c r="B4" s="47" t="str">
        <f>Config!B14</f>
        <v>Helmet</v>
      </c>
      <c r="C4" s="48">
        <f>Config!D14</f>
        <v>22</v>
      </c>
      <c r="D4" s="9">
        <f>Config!E14</f>
        <v>0.22</v>
      </c>
      <c r="E4" s="49">
        <f>0.22^3</f>
        <v>1.0647999999999999E-2</v>
      </c>
      <c r="F4" s="49">
        <f t="shared" ref="F4:F11" si="0">D4^4</f>
        <v>2.34256E-3</v>
      </c>
      <c r="G4" s="49">
        <f t="shared" ref="G4:G11" si="1">D4^5</f>
        <v>5.1536319999999998E-4</v>
      </c>
      <c r="H4" s="10">
        <f>Config!I14</f>
        <v>0.20627305600000001</v>
      </c>
      <c r="I4" s="9">
        <f>H4/H12</f>
        <v>0.23264384225471221</v>
      </c>
    </row>
    <row r="5" spans="2:9" ht="21.75" customHeight="1" x14ac:dyDescent="0.3">
      <c r="B5" s="47" t="str">
        <f>Config!B15</f>
        <v>Axe</v>
      </c>
      <c r="C5" s="48">
        <f>Config!D15</f>
        <v>18</v>
      </c>
      <c r="D5" s="9">
        <f>Config!E15</f>
        <v>0.18</v>
      </c>
      <c r="E5" s="49">
        <f t="shared" ref="E5:E11" si="2">D5^3</f>
        <v>5.8319999999999995E-3</v>
      </c>
      <c r="F5" s="49">
        <f t="shared" si="0"/>
        <v>1.0497599999999998E-3</v>
      </c>
      <c r="G5" s="49">
        <f t="shared" si="1"/>
        <v>1.8895679999999997E-4</v>
      </c>
      <c r="H5" s="10">
        <f>Config!I15</f>
        <v>0.12940041599999996</v>
      </c>
      <c r="I5" s="9">
        <f>H5/H12</f>
        <v>0.14594349136708445</v>
      </c>
    </row>
    <row r="6" spans="2:9" ht="21.75" customHeight="1" x14ac:dyDescent="0.3">
      <c r="B6" s="47" t="str">
        <f>Config!B16</f>
        <v>Shoes</v>
      </c>
      <c r="C6" s="48">
        <f>Config!D16</f>
        <v>16</v>
      </c>
      <c r="D6" s="9">
        <f>Config!E16</f>
        <v>0.16</v>
      </c>
      <c r="E6" s="49">
        <f t="shared" si="2"/>
        <v>4.0960000000000007E-3</v>
      </c>
      <c r="F6" s="49">
        <f t="shared" si="0"/>
        <v>6.5536000000000001E-4</v>
      </c>
      <c r="G6" s="49">
        <f t="shared" si="1"/>
        <v>1.048576E-4</v>
      </c>
      <c r="H6" s="10">
        <f>Config!I16</f>
        <v>0.10665984000000002</v>
      </c>
      <c r="I6" s="9">
        <f>H6/H12</f>
        <v>0.12029566766040858</v>
      </c>
    </row>
    <row r="7" spans="2:9" ht="21.75" customHeight="1" x14ac:dyDescent="0.3">
      <c r="B7" s="50" t="str">
        <f>Config!B17</f>
        <v>Anchor</v>
      </c>
      <c r="C7" s="51">
        <f>Config!D17</f>
        <v>14</v>
      </c>
      <c r="D7" s="14">
        <f>Config!E17</f>
        <v>0.14000000000000001</v>
      </c>
      <c r="E7" s="52">
        <f t="shared" si="2"/>
        <v>2.7440000000000008E-3</v>
      </c>
      <c r="F7" s="52">
        <f t="shared" si="0"/>
        <v>3.8416000000000009E-4</v>
      </c>
      <c r="G7" s="52">
        <f t="shared" si="1"/>
        <v>5.3782400000000016E-5</v>
      </c>
      <c r="H7" s="15">
        <f>Config!I17</f>
        <v>0.11085760000000003</v>
      </c>
      <c r="I7" s="14">
        <f>H7/H12</f>
        <v>0.12503008636831361</v>
      </c>
    </row>
    <row r="8" spans="2:9" ht="21.75" customHeight="1" x14ac:dyDescent="0.3">
      <c r="B8" s="50" t="str">
        <f>Config!B18</f>
        <v>Tent</v>
      </c>
      <c r="C8" s="51">
        <f>Config!D18</f>
        <v>12</v>
      </c>
      <c r="D8" s="14">
        <f>Config!E18</f>
        <v>0.12</v>
      </c>
      <c r="E8" s="52">
        <f t="shared" si="2"/>
        <v>1.7279999999999999E-3</v>
      </c>
      <c r="F8" s="52">
        <f t="shared" si="0"/>
        <v>2.0735999999999999E-4</v>
      </c>
      <c r="G8" s="52">
        <f t="shared" si="1"/>
        <v>2.4883199999999999E-5</v>
      </c>
      <c r="H8" s="15">
        <f>Config!I18</f>
        <v>0.10395647999999999</v>
      </c>
      <c r="I8" s="14">
        <f>H8/H12</f>
        <v>0.1172466991252369</v>
      </c>
    </row>
    <row r="9" spans="2:9" ht="21.75" customHeight="1" x14ac:dyDescent="0.3">
      <c r="B9" s="53" t="str">
        <f>Config!B19</f>
        <v>Rock Climber Logo ⚡</v>
      </c>
      <c r="C9" s="54">
        <f>Config!D19</f>
        <v>3</v>
      </c>
      <c r="D9" s="19">
        <f>Config!E19</f>
        <v>0.03</v>
      </c>
      <c r="E9" s="55">
        <v>0</v>
      </c>
      <c r="F9" s="55">
        <v>0</v>
      </c>
      <c r="G9" s="55">
        <v>0</v>
      </c>
      <c r="H9" s="20">
        <f>Config!I19</f>
        <v>0</v>
      </c>
      <c r="I9" s="19">
        <f>H9/H12</f>
        <v>0</v>
      </c>
    </row>
    <row r="10" spans="2:9" ht="21.75" customHeight="1" x14ac:dyDescent="0.3">
      <c r="B10" s="56" t="str">
        <f>Config!B20</f>
        <v>Miner</v>
      </c>
      <c r="C10" s="57">
        <f>Config!D20</f>
        <v>10</v>
      </c>
      <c r="D10" s="24">
        <f>Config!E20</f>
        <v>0.1</v>
      </c>
      <c r="E10" s="58">
        <f t="shared" si="2"/>
        <v>1.0000000000000002E-3</v>
      </c>
      <c r="F10" s="58">
        <f t="shared" si="0"/>
        <v>1.0000000000000005E-4</v>
      </c>
      <c r="G10" s="58">
        <f t="shared" si="1"/>
        <v>1.0000000000000006E-5</v>
      </c>
      <c r="H10" s="25">
        <f>Config!I20</f>
        <v>0.11200000000000003</v>
      </c>
      <c r="I10" s="24">
        <f>H10/H12</f>
        <v>0.12631853542969651</v>
      </c>
    </row>
    <row r="11" spans="2:9" ht="21.75" customHeight="1" x14ac:dyDescent="0.3">
      <c r="B11" s="56" t="str">
        <f>Config!B21</f>
        <v>Yeti</v>
      </c>
      <c r="C11" s="57">
        <f>Config!D21</f>
        <v>5</v>
      </c>
      <c r="D11" s="24">
        <f>Config!E21</f>
        <v>0.05</v>
      </c>
      <c r="E11" s="58">
        <f t="shared" si="2"/>
        <v>1.2500000000000003E-4</v>
      </c>
      <c r="F11" s="58">
        <f t="shared" si="0"/>
        <v>6.2500000000000028E-6</v>
      </c>
      <c r="G11" s="58">
        <f t="shared" si="1"/>
        <v>3.1250000000000018E-7</v>
      </c>
      <c r="H11" s="25">
        <f>Config!I21</f>
        <v>0.11750000000000002</v>
      </c>
      <c r="I11" s="24">
        <f>H11/H12</f>
        <v>0.13252167779454768</v>
      </c>
    </row>
    <row r="12" spans="2:9" ht="24" customHeight="1" x14ac:dyDescent="0.3">
      <c r="B12" s="59" t="s">
        <v>71</v>
      </c>
      <c r="C12" s="27"/>
      <c r="D12" s="27"/>
      <c r="E12" s="27"/>
      <c r="F12" s="27"/>
      <c r="G12" s="27"/>
      <c r="H12" s="60">
        <f>SUM(H4:H11)</f>
        <v>0.88664739200000009</v>
      </c>
      <c r="I12" s="61">
        <f t="shared" ref="I12" si="3">IFERROR(H12/$H$16,0)</f>
        <v>0</v>
      </c>
    </row>
    <row r="13" spans="2:9" ht="9.75" customHeight="1" x14ac:dyDescent="0.3"/>
    <row r="14" spans="2:9" ht="21.75" customHeight="1" x14ac:dyDescent="0.3">
      <c r="B14" s="62" t="s">
        <v>72</v>
      </c>
    </row>
    <row r="15" spans="2:9" ht="21.75" customHeight="1" x14ac:dyDescent="0.3">
      <c r="B15" s="63" t="s">
        <v>73</v>
      </c>
      <c r="C15" s="54">
        <f>Config!D19</f>
        <v>3</v>
      </c>
      <c r="I15" s="64">
        <f>IFERROR(H15/$H$16,0)</f>
        <v>0</v>
      </c>
    </row>
    <row r="16" spans="2:9" ht="25.5" customHeight="1" x14ac:dyDescent="0.3">
      <c r="B16" s="65" t="s">
        <v>74</v>
      </c>
      <c r="C16" s="27"/>
    </row>
    <row r="17" spans="2:9" ht="21.75" customHeight="1" x14ac:dyDescent="0.3"/>
    <row r="18" spans="2:9" ht="21.75" customHeight="1" x14ac:dyDescent="0.3">
      <c r="B18" s="1" t="s">
        <v>75</v>
      </c>
    </row>
    <row r="19" spans="2:9" ht="21.75" customHeight="1" x14ac:dyDescent="0.3">
      <c r="B19" s="26" t="s">
        <v>76</v>
      </c>
      <c r="C19" s="66" t="s">
        <v>77</v>
      </c>
    </row>
    <row r="20" spans="2:9" ht="15" customHeight="1" x14ac:dyDescent="0.3">
      <c r="B20" s="26" t="s">
        <v>78</v>
      </c>
      <c r="C20" s="66" t="s">
        <v>79</v>
      </c>
      <c r="D20" s="67"/>
      <c r="E20" s="67"/>
      <c r="F20" s="67"/>
      <c r="G20" s="67"/>
      <c r="H20" s="67"/>
      <c r="I20" s="68"/>
    </row>
    <row r="21" spans="2:9" ht="15" customHeight="1" x14ac:dyDescent="0.3">
      <c r="B21" s="26" t="s">
        <v>80</v>
      </c>
      <c r="C21" s="66" t="s">
        <v>81</v>
      </c>
      <c r="D21" s="67"/>
      <c r="E21" s="67"/>
      <c r="F21" s="67"/>
      <c r="G21" s="67"/>
      <c r="H21" s="67"/>
      <c r="I21" s="68"/>
    </row>
    <row r="22" spans="2:9" ht="15" customHeight="1" x14ac:dyDescent="0.3">
      <c r="B22" s="26" t="s">
        <v>82</v>
      </c>
      <c r="C22" s="66" t="s">
        <v>83</v>
      </c>
      <c r="D22" s="67"/>
      <c r="E22" s="67"/>
      <c r="F22" s="67"/>
      <c r="G22" s="67"/>
      <c r="H22" s="67"/>
      <c r="I22" s="68"/>
    </row>
    <row r="23" spans="2:9" ht="15" customHeight="1" x14ac:dyDescent="0.3">
      <c r="B23" s="26" t="s">
        <v>84</v>
      </c>
      <c r="C23" s="66" t="s">
        <v>85</v>
      </c>
      <c r="D23" s="67"/>
      <c r="E23" s="67"/>
      <c r="F23" s="67"/>
      <c r="G23" s="67"/>
      <c r="H23" s="67"/>
      <c r="I23" s="68"/>
    </row>
  </sheetData>
  <mergeCells count="1">
    <mergeCell ref="B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Paylines</vt:lpstr>
      <vt:lpstr>RTP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Milos Filipovic</cp:lastModifiedBy>
  <cp:revision>0</cp:revision>
  <dcterms:created xsi:type="dcterms:W3CDTF">2026-03-01T19:24:51Z</dcterms:created>
  <dcterms:modified xsi:type="dcterms:W3CDTF">2026-03-11T14:28:30Z</dcterms:modified>
  <dc:language>en-US</dc:language>
</cp:coreProperties>
</file>